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74a656d20544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ase" sheetId="1" r:id="R8701377ea6df4d6c"/>
    <x:sheet xmlns:r="http://schemas.openxmlformats.org/officeDocument/2006/relationships" name="Traceability" sheetId="2" r:id="Rba6516563d9f4e6f"/>
    <x:sheet xmlns:r="http://schemas.openxmlformats.org/officeDocument/2006/relationships" name="Tong quan" sheetId="3" r:id="R93695e8452414c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7030A0"/>
      </x:patternFill>
    </x:fill>
    <x:fill>
      <x:patternFill patternType="solid">
        <x:fgColor rgb="FF8064A2"/>
      </x:patternFill>
    </x:fill>
    <x:fill>
      <x:patternFill patternType="solid">
        <x:fgColor rgb="FFA64D79"/>
      </x:patternFill>
    </x:fill>
  </x:fills>
  <x:borders count="18">
    <x:border/>
    <x:border/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</x:borders>
  <x:cellStyleXfs count="1">
    <x:xf numFmtId="0" fontId="0" fillId="0" borderId="0"/>
  </x:cellStyleXfs>
  <x:cellXfs count="8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3" borderId="2" xfId="0" applyNumberFormat="1" applyFont="1" applyFill="1" applyBorder="1" applyAlignment="1">
      <x:alignment horizontal="center" vertical="center" wrapText="1"/>
    </x:xf>
    <x:xf numFmtId="0" fontId="1" fillId="3" borderId="3" xfId="0" applyNumberFormat="1" applyFont="1" applyFill="1" applyBorder="1" applyAlignment="1">
      <x:alignment horizontal="center" vertical="center" wrapText="1"/>
    </x:xf>
    <x:xf numFmtId="0" fontId="1" fillId="3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1" fillId="3" borderId="10" xfId="0" applyNumberFormat="1" applyFont="1" applyFill="1" applyBorder="1" applyAlignment="1">
      <x:alignment horizontal="center" vertical="center" wrapText="1"/>
    </x:xf>
    <x:xf numFmtId="0" fontId="1" fillId="3" borderId="11" xfId="0" applyNumberFormat="1" applyFont="1" applyFill="1" applyBorder="1" applyAlignment="1">
      <x:alignment horizontal="center" vertical="center" wrapText="1"/>
    </x:xf>
    <x:xf numFmtId="0" fontId="1" fillId="3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1" fillId="4" borderId="2" xfId="0" applyNumberFormat="1" applyFont="1" applyFill="1" applyBorder="1" applyAlignment="1">
      <x:alignment horizontal="center"/>
    </x:xf>
    <x:xf numFmtId="0" fontId="1" fillId="4" borderId="4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9" xfId="0" applyNumberFormat="1" applyFont="1" applyFill="1" applyBorder="1"/>
    <x:xf numFmtId="0" fontId="1" fillId="4" borderId="10" xfId="0" applyNumberFormat="1" applyFont="1" applyFill="1" applyBorder="1" applyAlignment="1">
      <x:alignment horizontal="center"/>
    </x:xf>
    <x:xf numFmtId="0" fontId="1" fillId="4" borderId="12" xfId="0" applyNumberFormat="1" applyFont="1" applyFill="1" applyBorder="1" applyAlignment="1">
      <x:alignment horizontal="center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7" xfId="0" applyNumberFormat="1" applyFont="1" applyFill="1" applyBorder="1"/>
  </x:cellXfs>
  <x:cellStyles count="1">
    <x:cellStyle name="Normal" xfId="0"/>
  </x:cellStyles>
  <x:dxfs count="5">
    <x:dxf>
      <x:font>
        <x:b/>
        <x:color rgb="FF38761D"/>
      </x:font>
      <x:fill>
        <x:patternFill patternType="solid">
          <x:bgColor rgb="FFE2F0D9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8043a730ff438f" /><Relationship Type="http://schemas.openxmlformats.org/officeDocument/2006/relationships/theme" Target="/xl/theme/theme1.xml" Id="R7aacc140080c4e59" /><Relationship Type="http://schemas.openxmlformats.org/officeDocument/2006/relationships/sharedStrings" Target="/xl/sharedStrings.xml" Id="R526b0c0e2fee43b6" /><Relationship Type="http://schemas.openxmlformats.org/officeDocument/2006/relationships/worksheet" Target="/xl/worksheets/sheet1.xml" Id="R8701377ea6df4d6c" /><Relationship Type="http://schemas.openxmlformats.org/officeDocument/2006/relationships/worksheet" Target="/xl/worksheets/sheet2.xml" Id="Rba6516563d9f4e6f" /><Relationship Type="http://schemas.openxmlformats.org/officeDocument/2006/relationships/worksheet" Target="/xl/worksheets/sheet3.xml" Id="R93695e8452414c4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5be2a2c23a34bc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Số Test Case theo module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Số TC</c:v>
          </c:tx>
          <c:cat>
            <c:strRef>
              <c:f>'Tong quan'!$D$4:$D$7</c:f>
              <c:strCache>
                <c:ptCount val="0"/>
              </c:strCache>
            </c:strRef>
          </c:cat>
          <c:val>
            <c:numRef>
              <c:f>'Tong quan'!$E$4:$E$7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8</xdr:row>
      <xdr:rowOff>0</xdr:rowOff>
    </xdr:from>
    <xdr:to>
      <xdr:col>11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5be2a2c23a34bc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estCaseFriend" displayName="TestCaseFriend" ref="A1:J25" headerRowCount="1" totalsRowCount="0" totalsRowShown="0">
  <x:tableColumns count="10">
    <x:tableColumn id="1" name="ID"/>
    <x:tableColumn id="2" name="Module"/>
    <x:tableColumn id="3" name="Test objective"/>
    <x:tableColumn id="4" name="Precondition"/>
    <x:tableColumn id="5" name="Test data"/>
    <x:tableColumn id="6" name="Execution steps"/>
    <x:tableColumn id="7" name="Expected result"/>
    <x:tableColumn id="8" name="Actual result"/>
    <x:tableColumn id="9" name="Status"/>
    <x:tableColumn id="10" name="Priorit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raceFriend" displayName="TraceFriend" ref="A1:F8" headerRowCount="1" totalsRowCount="0" totalsRowShown="0">
  <x:tableColumns count="6">
    <x:tableColumn id="1" name="REQ"/>
    <x:tableColumn id="2" name="Requirement"/>
    <x:tableColumn id="3" name="Related Use Case"/>
    <x:tableColumn id="4" name="UI / Service"/>
    <x:tableColumn id="5" name="Database"/>
    <x:tableColumn id="6" name="Test ID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fab6632c4d54a1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07d300660534e6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7f954e529ebd477d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6" hidden="0" customWidth="1"/>
    <x:col min="3" max="3" width="28" hidden="0" customWidth="1"/>
    <x:col min="4" max="4" width="27" hidden="0" customWidth="1"/>
    <x:col min="5" max="5" width="32" hidden="0" customWidth="1"/>
    <x:col min="6" max="6" width="34" hidden="0" customWidth="1"/>
    <x:col min="7" max="7" width="38" hidden="0" customWidth="1"/>
    <x:col min="8" max="8" width="26" hidden="0" customWidth="1"/>
    <x:col min="9" max="9" width="17" hidden="0" customWidth="1"/>
    <x:col min="10" max="10" width="11" hidden="0" customWidth="1"/>
  </x:cols>
  <x:sheetData>
    <x:row r="1" ht="32" customHeight="1">
      <x:c r="A1" s="16" t="str">
        <x:v>ID</x:v>
      </x:c>
      <x:c r="B1" s="17" t="str">
        <x:v>Module</x:v>
      </x:c>
      <x:c r="C1" s="17" t="str">
        <x:v>Test objective</x:v>
      </x:c>
      <x:c r="D1" s="17" t="str">
        <x:v>Precondition</x:v>
      </x:c>
      <x:c r="E1" s="17" t="str">
        <x:v>Test data</x:v>
      </x:c>
      <x:c r="F1" s="17" t="str">
        <x:v>Execution steps</x:v>
      </x:c>
      <x:c r="G1" s="17" t="str">
        <x:v>Expected result</x:v>
      </x:c>
      <x:c r="H1" s="17" t="str">
        <x:v>Actual result</x:v>
      </x:c>
      <x:c r="I1" s="17" t="str">
        <x:v>Status</x:v>
      </x:c>
      <x:c r="J1" s="18" t="str">
        <x:v>Priority</x:v>
      </x:c>
    </x:row>
    <x:row r="2" ht="42" customHeight="1">
      <x:c r="A2" s="19" t="str">
        <x:v>TC001</x:v>
      </x:c>
      <x:c r="B2" s="13" t="str">
        <x:v>Tài khoản</x:v>
      </x:c>
      <x:c r="C2" s="13" t="str">
        <x:v>Đăng ký tài khoản thành công</x:v>
      </x:c>
      <x:c r="D2" s="13" t="str">
        <x:v>FrmDangKy đang mở</x:v>
      </x:c>
      <x:c r="E2" s="13" t="str">
        <x:v>Thông tin cá nhân + tài khoản hợp lệ</x:v>
      </x:c>
      <x:c r="F2" s="13" t="str">
        <x:v>Nhập đủ trường bắt buộc → chọn Đăng ký</x:v>
      </x:c>
      <x:c r="G2" s="13" t="str">
        <x:v>Tài khoản được tạo và thông tin được lưu vào SQL Server</x:v>
      </x:c>
      <x:c r="H2" s="13" t="str"/>
      <x:c r="I2" s="13" t="str">
        <x:v>Chưa thực hiện</x:v>
      </x:c>
      <x:c r="J2" s="20" t="str">
        <x:v>High</x:v>
      </x:c>
    </x:row>
    <x:row r="3" ht="42" customHeight="1">
      <x:c r="A3" s="19" t="str">
        <x:v>TC002</x:v>
      </x:c>
      <x:c r="B3" s="13" t="str">
        <x:v>Tài khoản</x:v>
      </x:c>
      <x:c r="C3" s="13" t="str">
        <x:v>Bỏ trống trường bắt buộc khi đăng ký</x:v>
      </x:c>
      <x:c r="D3" s="13" t="str">
        <x:v>FrmDangKy đang mở</x:v>
      </x:c>
      <x:c r="E3" s="13" t="str">
        <x:v>Bỏ trống Tên đăng nhập</x:v>
      </x:c>
      <x:c r="F3" s="13" t="str">
        <x:v>Nhập các trường khác → chọn Đăng ký</x:v>
      </x:c>
      <x:c r="G3" s="13" t="str">
        <x:v>Hệ thống yêu cầu nhập Tên đăng nhập và không lưu dữ liệu</x:v>
      </x:c>
      <x:c r="H3" s="13" t="str"/>
      <x:c r="I3" s="13" t="str">
        <x:v>Chưa thực hiện</x:v>
      </x:c>
      <x:c r="J3" s="20" t="str">
        <x:v>Medium</x:v>
      </x:c>
    </x:row>
    <x:row r="4" ht="42" customHeight="1">
      <x:c r="A4" s="19" t="str">
        <x:v>TC003</x:v>
      </x:c>
      <x:c r="B4" s="13" t="str">
        <x:v>Tài khoản</x:v>
      </x:c>
      <x:c r="C4" s="13" t="str">
        <x:v>Đăng nhập thành công</x:v>
      </x:c>
      <x:c r="D4" s="13" t="str">
        <x:v>Tài khoản đã tồn tại</x:v>
      </x:c>
      <x:c r="E4" s="13" t="str">
        <x:v>Tên đăng nhập và mật khẩu đúng</x:v>
      </x:c>
      <x:c r="F4" s="13" t="str">
        <x:v>Nhập username/password → chọn Đăng nhập</x:v>
      </x:c>
      <x:c r="G4" s="13" t="str">
        <x:v>Mở được FrmSanPham</x:v>
      </x:c>
      <x:c r="H4" s="13" t="str"/>
      <x:c r="I4" s="13" t="str">
        <x:v>Chưa thực hiện</x:v>
      </x:c>
      <x:c r="J4" s="20" t="str">
        <x:v>High</x:v>
      </x:c>
    </x:row>
    <x:row r="5" ht="42" customHeight="1">
      <x:c r="A5" s="19" t="str">
        <x:v>TC004</x:v>
      </x:c>
      <x:c r="B5" s="13" t="str">
        <x:v>Tài khoản</x:v>
      </x:c>
      <x:c r="C5" s="13" t="str">
        <x:v>Đăng nhập sai tài khoản</x:v>
      </x:c>
      <x:c r="D5" s="13" t="str">
        <x:v>FrmDangNhap đang mở</x:v>
      </x:c>
      <x:c r="E5" s="13" t="str">
        <x:v>Tên đăng nhập không tồn tại</x:v>
      </x:c>
      <x:c r="F5" s="13" t="str">
        <x:v>Nhập thông tin → chọn Đăng nhập</x:v>
      </x:c>
      <x:c r="G5" s="13" t="str">
        <x:v>Hiển thị thông báo tài khoản không hợp lệ</x:v>
      </x:c>
      <x:c r="H5" s="13" t="str"/>
      <x:c r="I5" s="13" t="str">
        <x:v>Chưa thực hiện</x:v>
      </x:c>
      <x:c r="J5" s="20" t="str">
        <x:v>High</x:v>
      </x:c>
    </x:row>
    <x:row r="6" ht="42" customHeight="1">
      <x:c r="A6" s="19" t="str">
        <x:v>TC005</x:v>
      </x:c>
      <x:c r="B6" s="13" t="str">
        <x:v>Sản phẩm</x:v>
      </x:c>
      <x:c r="C6" s="13" t="str">
        <x:v>Lọc sản phẩm theo nhóm</x:v>
      </x:c>
      <x:c r="D6" s="13" t="str">
        <x:v>CSDL có nhiều nhóm sản phẩm</x:v>
      </x:c>
      <x:c r="E6" s="13" t="str">
        <x:v>Chọn một nhóm bất kỳ</x:v>
      </x:c>
      <x:c r="F6" s="13" t="str">
        <x:v>Mở FrmSanPham → chọn nhóm</x:v>
      </x:c>
      <x:c r="G6" s="13" t="str">
        <x:v>Chỉ hiển thị các sản phẩm thuộc nhóm đã chọn</x:v>
      </x:c>
      <x:c r="H6" s="13" t="str"/>
      <x:c r="I6" s="13" t="str">
        <x:v>Chưa thực hiện</x:v>
      </x:c>
      <x:c r="J6" s="20" t="str">
        <x:v>Medium</x:v>
      </x:c>
    </x:row>
    <x:row r="7" ht="42" customHeight="1">
      <x:c r="A7" s="19" t="str">
        <x:v>TC006</x:v>
      </x:c>
      <x:c r="B7" s="13" t="str">
        <x:v>Sản phẩm</x:v>
      </x:c>
      <x:c r="C7" s="13" t="str">
        <x:v>Tìm kiếm sản phẩm theo tên</x:v>
      </x:c>
      <x:c r="D7" s="13" t="str">
        <x:v>Có sản phẩm tương ứng trong CSDL</x:v>
      </x:c>
      <x:c r="E7" s="13" t="str">
        <x:v>Từ khóa 'máy ảnh'</x:v>
      </x:c>
      <x:c r="F7" s="13" t="str">
        <x:v>Nhập từ khóa → chọn Tìm kiếm</x:v>
      </x:c>
      <x:c r="G7" s="13" t="str">
        <x:v>Hiển thị các sản phẩm phù hợp với từ khóa</x:v>
      </x:c>
      <x:c r="H7" s="13" t="str"/>
      <x:c r="I7" s="13" t="str">
        <x:v>Chưa thực hiện</x:v>
      </x:c>
      <x:c r="J7" s="20" t="str">
        <x:v>Medium</x:v>
      </x:c>
    </x:row>
    <x:row r="8" ht="42" customHeight="1">
      <x:c r="A8" s="19" t="str">
        <x:v>TC007</x:v>
      </x:c>
      <x:c r="B8" s="13" t="str">
        <x:v>Sản phẩm</x:v>
      </x:c>
      <x:c r="C8" s="13" t="str">
        <x:v>Mở thông tin chi tiết</x:v>
      </x:c>
      <x:c r="D8" s="13" t="str">
        <x:v>Danh sách sản phẩm đã hiển thị</x:v>
      </x:c>
      <x:c r="E8" s="13" t="str">
        <x:v>Mã sản phẩm hợp lệ</x:v>
      </x:c>
      <x:c r="F8" s="13" t="str">
        <x:v>Chọn sản phẩm → Xem chi tiết</x:v>
      </x:c>
      <x:c r="G8" s="13" t="str">
        <x:v>Hiển thị đúng giá, mô tả, nhà sản xuất và tình trạng</x:v>
      </x:c>
      <x:c r="H8" s="13" t="str"/>
      <x:c r="I8" s="13" t="str">
        <x:v>Chưa thực hiện</x:v>
      </x:c>
      <x:c r="J8" s="20" t="str">
        <x:v>Medium</x:v>
      </x:c>
    </x:row>
    <x:row r="9" ht="42" customHeight="1">
      <x:c r="A9" s="19" t="str">
        <x:v>TC008</x:v>
      </x:c>
      <x:c r="B9" s="13" t="str">
        <x:v>Giỏ hàng</x:v>
      </x:c>
      <x:c r="C9" s="13" t="str">
        <x:v>Thêm một sản phẩm vào giỏ</x:v>
      </x:c>
      <x:c r="D9" s="13" t="str">
        <x:v>Sản phẩm đang còn hàng</x:v>
      </x:c>
      <x:c r="E9" s="13" t="str">
        <x:v>SP002, SL=1</x:v>
      </x:c>
      <x:c r="F9" s="13" t="str">
        <x:v>Chọn sản phẩm → Thêm vào giỏ</x:v>
      </x:c>
      <x:c r="G9" s="13" t="str">
        <x:v>Giỏ hàng xuất hiện sản phẩm với số lượng 1</x:v>
      </x:c>
      <x:c r="H9" s="13" t="str"/>
      <x:c r="I9" s="13" t="str">
        <x:v>Chưa thực hiện</x:v>
      </x:c>
      <x:c r="J9" s="20" t="str">
        <x:v>High</x:v>
      </x:c>
    </x:row>
    <x:row r="10" ht="42" customHeight="1">
      <x:c r="A10" s="19" t="str">
        <x:v>TC009</x:v>
      </x:c>
      <x:c r="B10" s="13" t="str">
        <x:v>Giỏ hàng</x:v>
      </x:c>
      <x:c r="C10" s="13" t="str">
        <x:v>Thêm lại cùng sản phẩm</x:v>
      </x:c>
      <x:c r="D10" s="13" t="str">
        <x:v>SP002 đã có trong giỏ với SL=1</x:v>
      </x:c>
      <x:c r="E10" s="13" t="str">
        <x:v>Thêm SP002 thêm 2 sản phẩm</x:v>
      </x:c>
      <x:c r="F10" s="13" t="str">
        <x:v>Thêm SP002 lần thứ hai</x:v>
      </x:c>
      <x:c r="G10" s="13" t="str">
        <x:v>Số lượng SP002 được cộng thành 3, không tạo dòng trùng</x:v>
      </x:c>
      <x:c r="H10" s="13" t="str"/>
      <x:c r="I10" s="13" t="str">
        <x:v>Chưa thực hiện</x:v>
      </x:c>
      <x:c r="J10" s="20" t="str">
        <x:v>High</x:v>
      </x:c>
    </x:row>
    <x:row r="11" ht="42" customHeight="1">
      <x:c r="A11" s="19" t="str">
        <x:v>TC010</x:v>
      </x:c>
      <x:c r="B11" s="13" t="str">
        <x:v>Giỏ hàng</x:v>
      </x:c>
      <x:c r="C11" s="13" t="str">
        <x:v>Xóa một dòng sản phẩm</x:v>
      </x:c>
      <x:c r="D11" s="13" t="str">
        <x:v>Giỏ hàng có ít nhất 2 sản phẩm</x:v>
      </x:c>
      <x:c r="E11" s="13" t="str">
        <x:v>Chọn một sản phẩm</x:v>
      </x:c>
      <x:c r="F11" s="13" t="str">
        <x:v>Chọn sản phẩm → Xóa</x:v>
      </x:c>
      <x:c r="G11" s="13" t="str">
        <x:v>Dòng sản phẩm bị xóa và tổng tiền thay đổi</x:v>
      </x:c>
      <x:c r="H11" s="13" t="str"/>
      <x:c r="I11" s="13" t="str">
        <x:v>Chưa thực hiện</x:v>
      </x:c>
      <x:c r="J11" s="20" t="str">
        <x:v>High</x:v>
      </x:c>
    </x:row>
    <x:row r="12" ht="42" customHeight="1">
      <x:c r="A12" s="19" t="str">
        <x:v>TC011</x:v>
      </x:c>
      <x:c r="B12" s="13" t="str">
        <x:v>Giỏ hàng</x:v>
      </x:c>
      <x:c r="C12" s="13" t="str">
        <x:v>Cập nhật số lượng vượt tồn kho</x:v>
      </x:c>
      <x:c r="D12" s="13" t="str">
        <x:v>Sản phẩm có tồn kho giới hạn</x:v>
      </x:c>
      <x:c r="E12" s="13" t="str">
        <x:v>Nhập số lượng lớn hơn tồn kho</x:v>
      </x:c>
      <x:c r="F12" s="13" t="str">
        <x:v>Sửa số lượng → Lưu</x:v>
      </x:c>
      <x:c r="G12" s="13" t="str">
        <x:v>Hệ thống từ chối hoặc cảnh báo số lượng vượt tồn kho</x:v>
      </x:c>
      <x:c r="H12" s="13" t="str"/>
      <x:c r="I12" s="13" t="str">
        <x:v>Chưa thực hiện</x:v>
      </x:c>
      <x:c r="J12" s="20" t="str">
        <x:v>High</x:v>
      </x:c>
    </x:row>
    <x:row r="13" ht="42" customHeight="1">
      <x:c r="A13" s="19" t="str">
        <x:v>TC012</x:v>
      </x:c>
      <x:c r="B13" s="13" t="str">
        <x:v>Đặt hàng</x:v>
      </x:c>
      <x:c r="C13" s="13" t="str">
        <x:v>Chuyển từ giỏ hàng sang đặt hàng</x:v>
      </x:c>
      <x:c r="D13" s="13" t="str">
        <x:v>Giỏ hàng có sản phẩm</x:v>
      </x:c>
      <x:c r="E13" s="13" t="str">
        <x:v>Giỏ hàng hợp lệ</x:v>
      </x:c>
      <x:c r="F13" s="13" t="str">
        <x:v>Chọn Thanh toán/Đặt hàng</x:v>
      </x:c>
      <x:c r="G13" s="13" t="str">
        <x:v>Mở FrmDatHang và giữ đúng thông tin giỏ hàng</x:v>
      </x:c>
      <x:c r="H13" s="13" t="str"/>
      <x:c r="I13" s="13" t="str">
        <x:v>Chưa thực hiện</x:v>
      </x:c>
      <x:c r="J13" s="20" t="str">
        <x:v>High</x:v>
      </x:c>
    </x:row>
    <x:row r="14" ht="42" customHeight="1">
      <x:c r="A14" s="19" t="str">
        <x:v>TC013</x:v>
      </x:c>
      <x:c r="B14" s="13" t="str">
        <x:v>Đặt hàng</x:v>
      </x:c>
      <x:c r="C14" s="13" t="str">
        <x:v>Người nhận khác người mua</x:v>
      </x:c>
      <x:c r="D14" s="13" t="str">
        <x:v>Khách hàng đã đăng nhập</x:v>
      </x:c>
      <x:c r="E14" s="13" t="str">
        <x:v>Tên, địa chỉ, điện thoại người nhận khác khách hàng</x:v>
      </x:c>
      <x:c r="F14" s="13" t="str">
        <x:v>Nhập thông tin người nhận → tiếp tục</x:v>
      </x:c>
      <x:c r="G14" s="13" t="str">
        <x:v>Thông tin người nhận được lưu độc lập với thông tin người mua</x:v>
      </x:c>
      <x:c r="H14" s="13" t="str"/>
      <x:c r="I14" s="13" t="str">
        <x:v>Chưa thực hiện</x:v>
      </x:c>
      <x:c r="J14" s="20" t="str">
        <x:v>High</x:v>
      </x:c>
    </x:row>
    <x:row r="15" ht="42" customHeight="1">
      <x:c r="A15" s="19" t="str">
        <x:v>TC014</x:v>
      </x:c>
      <x:c r="B15" s="13" t="str">
        <x:v>Giao hàng</x:v>
      </x:c>
      <x:c r="C15" s="13" t="str">
        <x:v>Tính phí giao hàng theo khu vực</x:v>
      </x:c>
      <x:c r="D15" s="13" t="str">
        <x:v>Có tổng tiền đơn hàng</x:v>
      </x:c>
      <x:c r="E15" s="13" t="str">
        <x:v>Khu vực A + giao thường</x:v>
      </x:c>
      <x:c r="F15" s="13" t="str">
        <x:v>Chọn khu vực → chọn giao hàng → tính tiền</x:v>
      </x:c>
      <x:c r="G15" s="13" t="str">
        <x:v>Phí giao hàng đúng theo cấu hình khu vực và loại giao hàng</x:v>
      </x:c>
      <x:c r="H15" s="13" t="str"/>
      <x:c r="I15" s="13" t="str">
        <x:v>Chưa thực hiện</x:v>
      </x:c>
      <x:c r="J15" s="20" t="str">
        <x:v>Medium</x:v>
      </x:c>
    </x:row>
    <x:row r="16" ht="42" customHeight="1">
      <x:c r="A16" s="19" t="str">
        <x:v>TC015</x:v>
      </x:c>
      <x:c r="B16" s="13" t="str">
        <x:v>Giao hàng</x:v>
      </x:c>
      <x:c r="C16" s="13" t="str">
        <x:v>Miễn phí giao nhanh tại ngưỡng 1 triệu</x:v>
      </x:c>
      <x:c r="D16" s="13" t="str">
        <x:v>Giỏ hàng có tổng 1.000.000đ</x:v>
      </x:c>
      <x:c r="E16" s="13" t="str">
        <x:v>Tổng = 1.000.000đ, giao nhanh</x:v>
      </x:c>
      <x:c r="F16" s="13" t="str">
        <x:v>Chọn giao nhanh → xem tổng</x:v>
      </x:c>
      <x:c r="G16" s="13" t="str">
        <x:v>Phí giao nhanh bằng 0đ</x:v>
      </x:c>
      <x:c r="H16" s="13" t="str"/>
      <x:c r="I16" s="13" t="str">
        <x:v>Chưa thực hiện</x:v>
      </x:c>
      <x:c r="J16" s="20" t="str">
        <x:v>High</x:v>
      </x:c>
    </x:row>
    <x:row r="17" ht="42" customHeight="1">
      <x:c r="A17" s="19" t="str">
        <x:v>TC016</x:v>
      </x:c>
      <x:c r="B17" s="13" t="str">
        <x:v>Giao hàng</x:v>
      </x:c>
      <x:c r="C17" s="13" t="str">
        <x:v>Miễn phí giao trong ngày tại ngưỡng 5 triệu</x:v>
      </x:c>
      <x:c r="D17" s="13" t="str">
        <x:v>Giỏ hàng có tổng 5.000.000đ</x:v>
      </x:c>
      <x:c r="E17" s="13" t="str">
        <x:v>Tổng = 5.000.000đ, giao trong ngày</x:v>
      </x:c>
      <x:c r="F17" s="13" t="str">
        <x:v>Chọn giao trong ngày → xem tổng</x:v>
      </x:c>
      <x:c r="G17" s="13" t="str">
        <x:v>Phí giao trong ngày bằng 0đ</x:v>
      </x:c>
      <x:c r="H17" s="13" t="str"/>
      <x:c r="I17" s="13" t="str">
        <x:v>Chưa thực hiện</x:v>
      </x:c>
      <x:c r="J17" s="20" t="str">
        <x:v>High</x:v>
      </x:c>
    </x:row>
    <x:row r="18" ht="42" customHeight="1">
      <x:c r="A18" s="19" t="str">
        <x:v>TC017</x:v>
      </x:c>
      <x:c r="B18" s="13" t="str">
        <x:v>Thanh toán</x:v>
      </x:c>
      <x:c r="C18" s="13" t="str">
        <x:v>MasterCard hợp lệ</x:v>
      </x:c>
      <x:c r="D18" s="13" t="str">
        <x:v>FrmThanhToan đang mở</x:v>
      </x:c>
      <x:c r="E18" s="13" t="str">
        <x:v>16 chữ số + CSV 3 chữ số + hạn hợp lệ</x:v>
      </x:c>
      <x:c r="F18" s="13" t="str">
        <x:v>Nhập dữ liệu thẻ → Xác nhận</x:v>
      </x:c>
      <x:c r="G18" s="13" t="str">
        <x:v>Dữ liệu vượt qua kiểm tra định dạng</x:v>
      </x:c>
      <x:c r="H18" s="13" t="str"/>
      <x:c r="I18" s="13" t="str">
        <x:v>Chưa thực hiện</x:v>
      </x:c>
      <x:c r="J18" s="20" t="str">
        <x:v>High</x:v>
      </x:c>
    </x:row>
    <x:row r="19" ht="42" customHeight="1">
      <x:c r="A19" s="19" t="str">
        <x:v>TC018</x:v>
      </x:c>
      <x:c r="B19" s="13" t="str">
        <x:v>Thanh toán</x:v>
      </x:c>
      <x:c r="C19" s="13" t="str">
        <x:v>Discover sai số lượng chữ số</x:v>
      </x:c>
      <x:c r="D19" s="13" t="str">
        <x:v>FrmThanhToan đang mở</x:v>
      </x:c>
      <x:c r="E19" s="13" t="str">
        <x:v>Discover với 14 chữ số</x:v>
      </x:c>
      <x:c r="F19" s="13" t="str">
        <x:v>Nhập số thẻ → Xác nhận</x:v>
      </x:c>
      <x:c r="G19" s="13" t="str">
        <x:v>Hệ thống từ chối vì sai độ dài số thẻ</x:v>
      </x:c>
      <x:c r="H19" s="13" t="str"/>
      <x:c r="I19" s="13" t="str">
        <x:v>Chưa thực hiện</x:v>
      </x:c>
      <x:c r="J19" s="20" t="str">
        <x:v>High</x:v>
      </x:c>
    </x:row>
    <x:row r="20" ht="42" customHeight="1">
      <x:c r="A20" s="19" t="str">
        <x:v>TC019</x:v>
      </x:c>
      <x:c r="B20" s="13" t="str">
        <x:v>Thanh toán</x:v>
      </x:c>
      <x:c r="C20" s="13" t="str">
        <x:v>American Express CSV sai độ dài</x:v>
      </x:c>
      <x:c r="D20" s="13" t="str">
        <x:v>FrmThanhToan đang mở</x:v>
      </x:c>
      <x:c r="E20" s="13" t="str">
        <x:v>Amex 15 chữ số, CSV 3 chữ số</x:v>
      </x:c>
      <x:c r="F20" s="13" t="str">
        <x:v>Nhập thẻ → Xác nhận</x:v>
      </x:c>
      <x:c r="G20" s="13" t="str">
        <x:v>Hệ thống báo CSV phải đủ 4 chữ số</x:v>
      </x:c>
      <x:c r="H20" s="13" t="str"/>
      <x:c r="I20" s="13" t="str">
        <x:v>Chưa thực hiện</x:v>
      </x:c>
      <x:c r="J20" s="20" t="str">
        <x:v>High</x:v>
      </x:c>
    </x:row>
    <x:row r="21" ht="42" customHeight="1">
      <x:c r="A21" s="19" t="str">
        <x:v>TC020</x:v>
      </x:c>
      <x:c r="B21" s="13" t="str">
        <x:v>Thanh toán</x:v>
      </x:c>
      <x:c r="C21" s="13" t="str">
        <x:v>Ngày hết hạn đã qua</x:v>
      </x:c>
      <x:c r="D21" s="13" t="str">
        <x:v>FrmThanhToan đang mở</x:v>
      </x:c>
      <x:c r="E21" s="13" t="str">
        <x:v>Thẻ có ngày hết hạn trong quá khứ</x:v>
      </x:c>
      <x:c r="F21" s="13" t="str">
        <x:v>Nhập thông tin → Xác nhận</x:v>
      </x:c>
      <x:c r="G21" s="13" t="str">
        <x:v>Hệ thống từ chối giao dịch vì thẻ hết hạn</x:v>
      </x:c>
      <x:c r="H21" s="13" t="str"/>
      <x:c r="I21" s="13" t="str">
        <x:v>Chưa thực hiện</x:v>
      </x:c>
      <x:c r="J21" s="20" t="str">
        <x:v>High</x:v>
      </x:c>
    </x:row>
    <x:row r="22" ht="42" customHeight="1">
      <x:c r="A22" s="19" t="str">
        <x:v>TC021</x:v>
      </x:c>
      <x:c r="B22" s="13" t="str">
        <x:v>Thanh toán</x:v>
      </x:c>
      <x:c r="C22" s="13" t="str">
        <x:v>Cổng thanh toán trả về thành công</x:v>
      </x:c>
      <x:c r="D22" s="13" t="str">
        <x:v>Thông tin thẻ hợp lệ</x:v>
      </x:c>
      <x:c r="E22" s="13" t="str">
        <x:v>Mock service trả success</x:v>
      </x:c>
      <x:c r="F22" s="13" t="str">
        <x:v>Thực hiện thanh toán</x:v>
      </x:c>
      <x:c r="G22" s="13" t="str">
        <x:v>Tạo bản ghi ThanhToan và trạng thái đơn hàng được cập nhật</x:v>
      </x:c>
      <x:c r="H22" s="13" t="str"/>
      <x:c r="I22" s="13" t="str">
        <x:v>Chưa thực hiện</x:v>
      </x:c>
      <x:c r="J22" s="20" t="str">
        <x:v>High</x:v>
      </x:c>
    </x:row>
    <x:row r="23" ht="42" customHeight="1">
      <x:c r="A23" s="19" t="str">
        <x:v>TC022</x:v>
      </x:c>
      <x:c r="B23" s="13" t="str">
        <x:v>Thanh toán</x:v>
      </x:c>
      <x:c r="C23" s="13" t="str">
        <x:v>Cổng thanh toán trả về thất bại</x:v>
      </x:c>
      <x:c r="D23" s="13" t="str">
        <x:v>Thông tin thẻ đúng định dạng</x:v>
      </x:c>
      <x:c r="E23" s="13" t="str">
        <x:v>Mock service trả failed</x:v>
      </x:c>
      <x:c r="F23" s="13" t="str">
        <x:v>Thực hiện thanh toán</x:v>
      </x:c>
      <x:c r="G23" s="13" t="str">
        <x:v>Không tạo đơn hoàn tất; hiển thị lỗi thanh toán</x:v>
      </x:c>
      <x:c r="H23" s="13" t="str"/>
      <x:c r="I23" s="13" t="str">
        <x:v>Chưa thực hiện</x:v>
      </x:c>
      <x:c r="J23" s="20" t="str">
        <x:v>High</x:v>
      </x:c>
    </x:row>
    <x:row r="24" ht="42" customHeight="1">
      <x:c r="A24" s="19" t="str">
        <x:v>TC023</x:v>
      </x:c>
      <x:c r="B24" s="13" t="str">
        <x:v>Đơn hàng</x:v>
      </x:c>
      <x:c r="C24" s="13" t="str">
        <x:v>Kiểm tra tổng tiền đơn hàng</x:v>
      </x:c>
      <x:c r="D24" s="13" t="str">
        <x:v>Giỏ hàng có nhiều sản phẩm</x:v>
      </x:c>
      <x:c r="E24" s="13" t="str">
        <x:v>SL × Đơn giá + phí giao hàng</x:v>
      </x:c>
      <x:c r="F24" s="13" t="str">
        <x:v>Xác nhận đặt hàng → đối chiếu tổng</x:v>
      </x:c>
      <x:c r="G24" s="13" t="str">
        <x:v>Tổng tiền được tính đúng theo từng dòng và phí giao hàng</x:v>
      </x:c>
      <x:c r="H24" s="13" t="str"/>
      <x:c r="I24" s="13" t="str">
        <x:v>Chưa thực hiện</x:v>
      </x:c>
      <x:c r="J24" s="20" t="str">
        <x:v>High</x:v>
      </x:c>
    </x:row>
    <x:row r="25" ht="42" customHeight="1">
      <x:c r="A25" s="21" t="str">
        <x:v>TC024</x:v>
      </x:c>
      <x:c r="B25" s="22" t="str">
        <x:v>Dữ liệu</x:v>
      </x:c>
      <x:c r="C25" s="22" t="str">
        <x:v>Không lưu CSV/CVV</x:v>
      </x:c>
      <x:c r="D25" s="22" t="str">
        <x:v>Thanh toán đã hoàn tất</x:v>
      </x:c>
      <x:c r="E25" s="22" t="str">
        <x:v>Kiểm tra bảng ThanhToan</x:v>
      </x:c>
      <x:c r="F25" s="22" t="str">
        <x:v>Mở SQL Server → kiểm tra bản ghi</x:v>
      </x:c>
      <x:c r="G25" s="22" t="str">
        <x:v>CSV/CVV không được lưu; số thẻ chỉ ở dạng che/mã tham chiếu</x:v>
      </x:c>
      <x:c r="H25" s="22" t="str"/>
      <x:c r="I25" s="22" t="str">
        <x:v>Chưa thực hiện</x:v>
      </x:c>
      <x:c r="J25" s="23" t="str">
        <x:v>High</x:v>
      </x:c>
    </x:row>
  </x:sheetData>
  <x:conditionalFormatting sqref="I2:I25">
    <x:cfRule type="expression" dxfId="0" priority="1">
      <x:formula>I2="Pass"</x:formula>
    </x:cfRule>
    <x:cfRule type="expression" dxfId="1" priority="2">
      <x:formula>I2="Fail"</x:formula>
    </x:cfRule>
    <x:cfRule type="expression" dxfId="2" priority="3">
      <x:formula>I2="Blocked"</x:formula>
    </x:cfRule>
  </x:conditionalFormatting>
  <x:conditionalFormatting sqref="J2:J25">
    <x:cfRule type="expression" dxfId="3" priority="4">
      <x:formula>J2="High"</x:formula>
    </x:cfRule>
    <x:cfRule type="expression" dxfId="4" priority="5">
      <x:formula>J2="Medium"</x:formula>
    </x:cfRule>
  </x:conditionalFormatting>
  <x:dataValidations count="2">
    <x:dataValidation type="list" sqref="I2:I25">
      <x:formula1>"Chưa thực hiện,Pass,Fail,Blocked"</x:formula1>
    </x:dataValidation>
    <x:dataValidation type="list" sqref="J2:J25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fab6632c4d54a1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2" hidden="0" customWidth="1"/>
    <x:col min="3" max="3" width="19" hidden="0" customWidth="1"/>
    <x:col min="4" max="4" width="38" hidden="0" customWidth="1"/>
    <x:col min="5" max="5" width="39" hidden="0" customWidth="1"/>
    <x:col min="6" max="6" width="22" hidden="0" customWidth="1"/>
  </x:cols>
  <x:sheetData>
    <x:row r="1" ht="40" customHeight="1">
      <x:c r="A1" s="42" t="str">
        <x:v>REQ</x:v>
      </x:c>
      <x:c r="B1" s="43" t="str">
        <x:v>Requirement</x:v>
      </x:c>
      <x:c r="C1" s="43" t="str">
        <x:v>Related Use Case</x:v>
      </x:c>
      <x:c r="D1" s="43" t="str">
        <x:v>UI / Service</x:v>
      </x:c>
      <x:c r="E1" s="43" t="str">
        <x:v>Database</x:v>
      </x:c>
      <x:c r="F1" s="44" t="str">
        <x:v>Test IDs</x:v>
      </x:c>
    </x:row>
    <x:row r="2" ht="40" customHeight="1">
      <x:c r="A2" s="45" t="str">
        <x:v>REQ01</x:v>
      </x:c>
      <x:c r="B2" s="12" t="str">
        <x:v>Khách hàng có thể đăng ký tài khoản</x:v>
      </x:c>
      <x:c r="C2" s="12" t="str">
        <x:v>UC01</x:v>
      </x:c>
      <x:c r="D2" s="12" t="str">
        <x:v>FrmDangKy / KhachHangService</x:v>
      </x:c>
      <x:c r="E2" s="12" t="str">
        <x:v>KhachHang</x:v>
      </x:c>
      <x:c r="F2" s="46" t="str">
        <x:v>TC001-TC002</x:v>
      </x:c>
    </x:row>
    <x:row r="3" ht="40" customHeight="1">
      <x:c r="A3" s="45" t="str">
        <x:v>REQ02</x:v>
      </x:c>
      <x:c r="B3" s="12" t="str">
        <x:v>Khách hàng đăng nhập hệ thống</x:v>
      </x:c>
      <x:c r="C3" s="12" t="str">
        <x:v>UC02</x:v>
      </x:c>
      <x:c r="D3" s="12" t="str">
        <x:v>FrmDangNhap / KhachHangService</x:v>
      </x:c>
      <x:c r="E3" s="12" t="str">
        <x:v>KhachHang</x:v>
      </x:c>
      <x:c r="F3" s="46" t="str">
        <x:v>TC003-TC004</x:v>
      </x:c>
    </x:row>
    <x:row r="4" ht="40" customHeight="1">
      <x:c r="A4" s="45" t="str">
        <x:v>REQ03</x:v>
      </x:c>
      <x:c r="B4" s="12" t="str">
        <x:v>Xem và tìm kiếm sản phẩm</x:v>
      </x:c>
      <x:c r="C4" s="12" t="str">
        <x:v>UC03-UC04</x:v>
      </x:c>
      <x:c r="D4" s="12" t="str">
        <x:v>FrmSanPham / FrmChiTietSanPham / SanPhamService</x:v>
      </x:c>
      <x:c r="E4" s="12" t="str">
        <x:v>SanPham, NhomSanPham</x:v>
      </x:c>
      <x:c r="F4" s="46" t="str">
        <x:v>TC005-TC007</x:v>
      </x:c>
    </x:row>
    <x:row r="5" ht="40" customHeight="1">
      <x:c r="A5" s="45" t="str">
        <x:v>REQ04</x:v>
      </x:c>
      <x:c r="B5" s="12" t="str">
        <x:v>Quản lý giỏ hàng</x:v>
      </x:c>
      <x:c r="C5" s="12" t="str">
        <x:v>UC05-UC08</x:v>
      </x:c>
      <x:c r="D5" s="12" t="str">
        <x:v>FrmGioHang / GioHangService</x:v>
      </x:c>
      <x:c r="E5" s="12" t="str">
        <x:v>GioHang, ChiTietGioHang</x:v>
      </x:c>
      <x:c r="F5" s="46" t="str">
        <x:v>TC008-TC011</x:v>
      </x:c>
    </x:row>
    <x:row r="6" ht="40" customHeight="1">
      <x:c r="A6" s="45" t="str">
        <x:v>REQ05</x:v>
      </x:c>
      <x:c r="B6" s="12" t="str">
        <x:v>Đặt hàng và giao hàng</x:v>
      </x:c>
      <x:c r="C6" s="12" t="str">
        <x:v>UC09-UC12</x:v>
      </x:c>
      <x:c r="D6" s="12" t="str">
        <x:v>FrmDatHang / DonHangService</x:v>
      </x:c>
      <x:c r="E6" s="12" t="str">
        <x:v>DonHang, NguoiNhan, GiaoHang, ChiTietDonHang</x:v>
      </x:c>
      <x:c r="F6" s="46" t="str">
        <x:v>TC012-TC016, TC023</x:v>
      </x:c>
    </x:row>
    <x:row r="7" ht="40" customHeight="1">
      <x:c r="A7" s="45" t="str">
        <x:v>REQ06</x:v>
      </x:c>
      <x:c r="B7" s="12" t="str">
        <x:v>Thanh toán bằng thẻ</x:v>
      </x:c>
      <x:c r="C7" s="12" t="str">
        <x:v>UC13-UC14</x:v>
      </x:c>
      <x:c r="D7" s="12" t="str">
        <x:v>FrmThanhToan / ThanhToanService</x:v>
      </x:c>
      <x:c r="E7" s="12" t="str">
        <x:v>ThanhToan</x:v>
      </x:c>
      <x:c r="F7" s="46" t="str">
        <x:v>TC017-TC022</x:v>
      </x:c>
    </x:row>
    <x:row r="8" ht="40" customHeight="1">
      <x:c r="A8" s="47" t="str">
        <x:v>REQ07</x:v>
      </x:c>
      <x:c r="B8" s="48" t="str">
        <x:v>Bảo vệ dữ liệu thẻ</x:v>
      </x:c>
      <x:c r="C8" s="48" t="str">
        <x:v>UC13-UC14</x:v>
      </x:c>
      <x:c r="D8" s="48" t="str">
        <x:v>ThanhToanService / PaymentAdapter</x:v>
      </x:c>
      <x:c r="E8" s="48" t="str">
        <x:v>ThanhToan</x:v>
      </x:c>
      <x:c r="F8" s="49" t="str">
        <x:v>TC024</x:v>
      </x:c>
    </x:row>
  </x:sheetData>
  <x:pageMargins left="0.7" right="0.7" top="0.75" bottom="0.75" header="0.3" footer="0.3"/>
  <x:tableParts count="1">
    <x:tablePart xmlns:r="http://schemas.openxmlformats.org/officeDocument/2006/relationships" r:id="R607d300660534e6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6" hidden="0" customWidth="1"/>
    <x:col min="4" max="4" width="24" hidden="0" customWidth="1"/>
    <x:col min="5" max="5" width="14" hidden="0" customWidth="1"/>
  </x:cols>
  <x:sheetData>
    <x:row r="1">
      <x:c r="A1" s="60" t="str">
        <x:v>TEST CASE e-SHOPPING – PHIÊN BẢN 2</x:v>
      </x:c>
    </x:row>
    <x:row r="3" ht="24" customHeight="1">
      <x:c r="A3" s="70" t="str">
        <x:v>Chỉ tiêu</x:v>
      </x:c>
      <x:c r="B3" s="71" t="str">
        <x:v>Giá trị</x:v>
      </x:c>
      <x:c r="D3" s="70" t="str">
        <x:v>Module</x:v>
      </x:c>
      <x:c r="E3" s="71" t="str">
        <x:v>Số TC</x:v>
      </x:c>
    </x:row>
    <x:row r="4" ht="24" customHeight="1">
      <x:c r="A4" s="72" t="str">
        <x:v>Tổng Test Case</x:v>
      </x:c>
      <x:c r="B4" s="73" t="n">
        <x:f>COUNTA('Test Case'!A2:A25)</x:f>
        <x:v>24</x:v>
      </x:c>
      <x:c r="D4" s="72" t="str">
        <x:v>Tài khoản</x:v>
      </x:c>
      <x:c r="E4" s="73" t="n">
        <x:f>COUNTIF('Test Case'!B2:B25,"Tài khoản")</x:f>
        <x:v>4</x:v>
      </x:c>
    </x:row>
    <x:row r="5" ht="24" customHeight="1">
      <x:c r="A5" s="72" t="str">
        <x:v>Pass</x:v>
      </x:c>
      <x:c r="B5" s="73" t="n">
        <x:f>COUNTIF('Test Case'!I2:I25,"Pass")</x:f>
        <x:v>0</x:v>
      </x:c>
      <x:c r="D5" s="72" t="str">
        <x:v>Sản phẩm</x:v>
      </x:c>
      <x:c r="E5" s="73" t="n">
        <x:f>COUNTIF('Test Case'!B2:B25,"Sản phẩm")</x:f>
        <x:v>3</x:v>
      </x:c>
    </x:row>
    <x:row r="6" ht="24" customHeight="1">
      <x:c r="A6" s="72" t="str">
        <x:v>Fail</x:v>
      </x:c>
      <x:c r="B6" s="73" t="n">
        <x:f>COUNTIF('Test Case'!I2:I25,"Fail")</x:f>
        <x:v>0</x:v>
      </x:c>
      <x:c r="D6" s="72" t="str">
        <x:v>Giỏ hàng</x:v>
      </x:c>
      <x:c r="E6" s="73" t="n">
        <x:f>COUNTIF('Test Case'!B2:B25,"Giỏ hàng")</x:f>
        <x:v>4</x:v>
      </x:c>
    </x:row>
    <x:row r="7" ht="24" customHeight="1">
      <x:c r="A7" s="72" t="str">
        <x:v>Chưa thực hiện</x:v>
      </x:c>
      <x:c r="B7" s="73" t="n">
        <x:f>COUNTIF('Test Case'!I2:I25,"Chưa thực hiện")</x:f>
        <x:v>24</x:v>
      </x:c>
      <x:c r="D7" s="74" t="str">
        <x:v>Đặt hàng / Thanh toán</x:v>
      </x:c>
      <x:c r="E7" s="75" t="n">
        <x:f>COUNTIF('Test Case'!B2:B25,"Đặt hàng")+COUNTIF('Test Case'!B2:B25,"Thanh toán")</x:f>
        <x:v>8</x:v>
      </x:c>
    </x:row>
    <x:row r="8" ht="24" customHeight="1">
      <x:c r="A8" s="74" t="str">
        <x:v>Blocked</x:v>
      </x:c>
      <x:c r="B8" s="75" t="n">
        <x:f>COUNTIF('Test Case'!I2:I25,"Blocked")</x:f>
        <x:v>0</x:v>
      </x:c>
    </x:row>
  </x:sheetData>
  <x:mergeCells>
    <x:mergeCell ref="A1:F1"/>
  </x:mergeCells>
  <x:pageMargins left="0.7" right="0.7" top="0.75" bottom="0.75" header="0.3" footer="0.3"/>
  <x:drawing xmlns:r="http://schemas.openxmlformats.org/officeDocument/2006/relationships" r:id="R7f954e529ebd477d"/>
</x:worksheet>
</file>